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-muc-linh-kien" sheetId="1" state="visible" r:id="rId3"/>
    <sheet name="trang-thai-tram" sheetId="2" state="visible" r:id="rId4"/>
  </sheets>
  <definedNames>
    <definedName function="false" hidden="true" localSheetId="1" name="_xlnm._FilterDatabase" vbProcedure="false">'trang-thai-tram'!$A$1:$F$11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<sst xmlns="http://schemas.openxmlformats.org/spreadsheetml/2006/main" count="48" uniqueCount="36">
  <si>
    <t xml:space="preserve">ma_linh_kien</t>
  </si>
  <si>
    <t xml:space="preserve">ten_thiet_bi</t>
  </si>
  <si>
    <t xml:space="preserve">don_gia</t>
  </si>
  <si>
    <t xml:space="preserve">loai_storage</t>
  </si>
  <si>
    <t xml:space="preserve">LK01</t>
  </si>
  <si>
    <t xml:space="preserve">Raspberry Pi 4 Model B</t>
  </si>
  <si>
    <t xml:space="preserve">SSD</t>
  </si>
  <si>
    <t xml:space="preserve">LK02</t>
  </si>
  <si>
    <t xml:space="preserve">Intel NUC i3</t>
  </si>
  <si>
    <t xml:space="preserve">LK03</t>
  </si>
  <si>
    <t xml:space="preserve">Orange Pi 5</t>
  </si>
  <si>
    <t xml:space="preserve">LK04</t>
  </si>
  <si>
    <t xml:space="preserve">Dell Optiplex Micro</t>
  </si>
  <si>
    <t xml:space="preserve">HDD</t>
  </si>
  <si>
    <t xml:space="preserve">LK05</t>
  </si>
  <si>
    <t xml:space="preserve">Mini PC Fanless N100</t>
  </si>
  <si>
    <t xml:space="preserve">LK06</t>
  </si>
  <si>
    <t xml:space="preserve">Synology DS220j NAS</t>
  </si>
  <si>
    <t xml:space="preserve">ma_tram</t>
  </si>
  <si>
    <t xml:space="preserve">dung_luong_ram</t>
  </si>
  <si>
    <t xml:space="preserve">ngay_lap_dat</t>
  </si>
  <si>
    <t xml:space="preserve">ma_linh_kien_sach</t>
  </si>
  <si>
    <t xml:space="preserve">ST01</t>
  </si>
  <si>
    <t xml:space="preserve">ST02</t>
  </si>
  <si>
    <t xml:space="preserve"> LK01</t>
  </si>
  <si>
    <t xml:space="preserve">ST03</t>
  </si>
  <si>
    <t xml:space="preserve">LK05 </t>
  </si>
  <si>
    <t xml:space="preserve">ST04</t>
  </si>
  <si>
    <t xml:space="preserve">ST05</t>
  </si>
  <si>
    <t xml:space="preserve">LK02 </t>
  </si>
  <si>
    <t xml:space="preserve">ST06</t>
  </si>
  <si>
    <t xml:space="preserve">ST07</t>
  </si>
  <si>
    <t xml:space="preserve">ST08</t>
  </si>
  <si>
    <t xml:space="preserve"> LK04</t>
  </si>
  <si>
    <t xml:space="preserve">ST09</t>
  </si>
  <si>
    <t xml:space="preserve">ST10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</si>
</sst>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dd/mm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2" t="n">
        <v>1450000</v>
      </c>
      <c r="D2" s="3" t="s">
        <v>6</v>
      </c>
    </row>
    <row r="3" customFormat="false" ht="15" hidden="false" customHeight="false" outlineLevel="0" collapsed="false">
      <c r="A3" s="0" t="s">
        <v>7</v>
      </c>
      <c r="B3" s="0" t="s">
        <v>8</v>
      </c>
      <c r="C3" s="2" t="n">
        <v>6200000</v>
      </c>
      <c r="D3" s="3" t="s">
        <v>6</v>
      </c>
    </row>
    <row r="4" customFormat="false" ht="15" hidden="false" customHeight="false" outlineLevel="0" collapsed="false">
      <c r="A4" s="0" t="s">
        <v>9</v>
      </c>
      <c r="B4" s="0" t="s">
        <v>10</v>
      </c>
      <c r="C4" s="2" t="n">
        <v>2300000</v>
      </c>
      <c r="D4" s="3" t="s">
        <v>6</v>
      </c>
    </row>
    <row r="5" customFormat="false" ht="15" hidden="false" customHeight="false" outlineLevel="0" collapsed="false">
      <c r="A5" s="0" t="s">
        <v>11</v>
      </c>
      <c r="B5" s="0" t="s">
        <v>12</v>
      </c>
      <c r="C5" s="2" t="n">
        <v>5400000</v>
      </c>
      <c r="D5" s="3" t="s">
        <v>13</v>
      </c>
    </row>
    <row r="6" customFormat="false" ht="15" hidden="false" customHeight="false" outlineLevel="0" collapsed="false">
      <c r="A6" s="0" t="s">
        <v>14</v>
      </c>
      <c r="B6" s="0" t="s">
        <v>15</v>
      </c>
      <c r="C6" s="2" t="n">
        <v>4200000</v>
      </c>
      <c r="D6" s="3" t="s">
        <v>6</v>
      </c>
    </row>
    <row r="7" customFormat="false" ht="15" hidden="false" customHeight="false" outlineLevel="0" collapsed="false">
      <c r="A7" s="0" t="s">
        <v>16</v>
      </c>
      <c r="B7" s="0" t="s">
        <v>17</v>
      </c>
      <c r="C7" s="2" t="n">
        <v>3900000</v>
      </c>
      <c r="D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4"/>
  </cols>
  <sheetData>
    <row r="1" customFormat="false" ht="15" hidden="false" customHeight="false" outlineLevel="0" collapsed="false">
      <c r="A1" s="1" t="s">
        <v>18</v>
      </c>
      <c r="B1" s="1" t="s">
        <v>0</v>
      </c>
      <c r="C1" s="1" t="s">
        <v>19</v>
      </c>
      <c r="D1" s="1" t="s">
        <v>20</v>
      </c>
      <c r="E1" s="1" t="s">
        <v>21</v>
      </c>
      <c r="F1" s="1" t="s">
        <v>1</v>
      </c>
    </row>
    <row r="2" customFormat="false" ht="15" hidden="false" customHeight="false" outlineLevel="0" collapsed="false">
      <c r="A2" s="0" t="s">
        <v>22</v>
      </c>
      <c r="B2" s="0" t="s">
        <v>7</v>
      </c>
      <c r="C2" s="0" t="n">
        <v>16</v>
      </c>
      <c r="D2" s="4" t="n">
        <v>46093</v>
      </c>
      <c r="E2" s="0" t="str">
        <f aca="false">TRIM(B2)</f>
        <v>LK02</v>
      </c>
      <c r="F2" s="0" t="str">
        <f aca="false">VLOOKUP(E2,'danh-muc-linh-kien'!$A$2:$D$7,2,FALSE())</f>
        <v>Intel NUC i3</v>
      </c>
    </row>
    <row r="3" customFormat="false" ht="15" hidden="false" customHeight="false" outlineLevel="0" collapsed="false">
      <c r="A3" s="0" t="s">
        <v>23</v>
      </c>
      <c r="B3" s="0" t="s">
        <v>24</v>
      </c>
      <c r="C3" s="0" t="n">
        <v>4</v>
      </c>
      <c r="D3" s="4" t="n">
        <v>46096</v>
      </c>
      <c r="E3" s="0" t="str">
        <f aca="false">TRIM(B3)</f>
        <v>LK01</v>
      </c>
      <c r="F3" s="0" t="str">
        <f aca="false">VLOOKUP(E3,'danh-muc-linh-kien'!$A$2:$D$7,2,FALSE())</f>
        <v>Raspberry Pi 4 Model B</v>
      </c>
    </row>
    <row r="4" customFormat="false" ht="15" hidden="false" customHeight="false" outlineLevel="0" collapsed="false">
      <c r="A4" s="0" t="s">
        <v>25</v>
      </c>
      <c r="B4" s="0" t="s">
        <v>26</v>
      </c>
      <c r="C4" s="0" t="n">
        <v>8</v>
      </c>
      <c r="D4" s="4" t="n">
        <v>46114</v>
      </c>
      <c r="E4" s="0" t="str">
        <f aca="false">TRIM(B4)</f>
        <v>LK05</v>
      </c>
      <c r="F4" s="0" t="str">
        <f aca="false">VLOOKUP(E4,'danh-muc-linh-kien'!$A$2:$D$7,2,FALSE())</f>
        <v>Mini PC Fanless N100</v>
      </c>
    </row>
    <row r="5" customFormat="false" ht="15" hidden="false" customHeight="false" outlineLevel="0" collapsed="false">
      <c r="A5" s="0" t="s">
        <v>27</v>
      </c>
      <c r="B5" s="0" t="s">
        <v>9</v>
      </c>
      <c r="C5" s="0" t="n">
        <v>8</v>
      </c>
      <c r="D5" s="4" t="n">
        <v>46121</v>
      </c>
      <c r="E5" s="0" t="str">
        <f aca="false">TRIM(B5)</f>
        <v>LK03</v>
      </c>
      <c r="F5" s="0" t="str">
        <f aca="false">VLOOKUP(E5,'danh-muc-linh-kien'!$A$2:$D$7,2,FALSE())</f>
        <v>Orange Pi 5</v>
      </c>
    </row>
    <row r="6" customFormat="false" ht="15" hidden="false" customHeight="false" outlineLevel="0" collapsed="false">
      <c r="A6" s="0" t="s">
        <v>28</v>
      </c>
      <c r="B6" s="0" t="s">
        <v>29</v>
      </c>
      <c r="C6" s="0" t="n">
        <v>16</v>
      </c>
      <c r="D6" s="4" t="n">
        <v>46133</v>
      </c>
      <c r="E6" s="0" t="str">
        <f aca="false">TRIM(B6)</f>
        <v>LK02</v>
      </c>
      <c r="F6" s="0" t="str">
        <f aca="false">VLOOKUP(E6,'danh-muc-linh-kien'!$A$2:$D$7,2,FALSE())</f>
        <v>Intel NUC i3</v>
      </c>
    </row>
    <row r="7" customFormat="false" ht="15" hidden="false" customHeight="false" outlineLevel="0" collapsed="false">
      <c r="A7" s="0" t="s">
        <v>30</v>
      </c>
      <c r="B7" s="0" t="s">
        <v>16</v>
      </c>
      <c r="C7" s="0" t="n">
        <v>4</v>
      </c>
      <c r="D7" s="4" t="n">
        <v>46147</v>
      </c>
      <c r="E7" s="0" t="str">
        <f aca="false">TRIM(B7)</f>
        <v>LK06</v>
      </c>
      <c r="F7" s="0" t="str">
        <f aca="false">VLOOKUP(E7,'danh-muc-linh-kien'!$A$2:$D$7,2,FALSE())</f>
        <v>Synology DS220j NAS</v>
      </c>
    </row>
    <row r="8" customFormat="false" ht="15" hidden="false" customHeight="false" outlineLevel="0" collapsed="false">
      <c r="A8" s="0" t="s">
        <v>31</v>
      </c>
      <c r="B8" s="0" t="s">
        <v>4</v>
      </c>
      <c r="C8" s="0" t="n">
        <v>4</v>
      </c>
      <c r="D8" s="4" t="n">
        <v>46160</v>
      </c>
      <c r="E8" s="0" t="str">
        <f aca="false">TRIM(B8)</f>
        <v>LK01</v>
      </c>
      <c r="F8" s="0" t="str">
        <f aca="false">VLOOKUP(E8,'danh-muc-linh-kien'!$A$2:$D$7,2,FALSE())</f>
        <v>Raspberry Pi 4 Model B</v>
      </c>
    </row>
    <row r="9" customFormat="false" ht="15" hidden="false" customHeight="false" outlineLevel="0" collapsed="false">
      <c r="A9" s="0" t="s">
        <v>32</v>
      </c>
      <c r="B9" s="0" t="s">
        <v>33</v>
      </c>
      <c r="C9" s="0" t="n">
        <v>8</v>
      </c>
      <c r="D9" s="4" t="n">
        <v>46174</v>
      </c>
      <c r="E9" s="0" t="str">
        <f aca="false">TRIM(B9)</f>
        <v>LK04</v>
      </c>
      <c r="F9" s="0" t="str">
        <f aca="false">VLOOKUP(E9,'danh-muc-linh-kien'!$A$2:$D$7,2,FALSE())</f>
        <v>Dell Optiplex Micro</v>
      </c>
    </row>
    <row r="10" customFormat="false" ht="15" hidden="false" customHeight="false" outlineLevel="0" collapsed="false">
      <c r="A10" s="0" t="s">
        <v>34</v>
      </c>
      <c r="B10" s="0" t="s">
        <v>9</v>
      </c>
      <c r="C10" s="0" t="n">
        <v>8</v>
      </c>
      <c r="D10" s="4" t="n">
        <v>46187</v>
      </c>
      <c r="E10" s="0" t="str">
        <f aca="false">TRIM(B10)</f>
        <v>LK03</v>
      </c>
      <c r="F10" s="0" t="str">
        <f aca="false">VLOOKUP(E10,'danh-muc-linh-kien'!$A$2:$D$7,2,FALSE())</f>
        <v>Orange Pi 5</v>
      </c>
    </row>
    <row r="11" customFormat="false" ht="15" hidden="false" customHeight="false" outlineLevel="0" collapsed="false">
      <c r="A11" s="0" t="s">
        <v>35</v>
      </c>
      <c r="B11" s="0" t="s">
        <v>14</v>
      </c>
      <c r="C11" s="0" t="n">
        <v>8</v>
      </c>
      <c r="D11" s="4" t="n">
        <v>46206</v>
      </c>
      <c r="E11" s="0" t="str">
        <f aca="false">TRIM(B11)</f>
        <v>LK05</v>
      </c>
      <c r="F11" s="0" t="str">
        <f aca="false">VLOOKUP(E11,'danh-muc-linh-kien'!$A$2:$D$7,2,FALSE())</f>
        <v>Mini PC Fanless N100</v>
      </c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2026-10-13T00:17:08Z</dcterms:created>
  <dc:creator>openpyxl</dc:creator>
  <dc:description/>
  <dc:language>en-US</dc:language>
  <cp:lastModifiedBy/>
  <dcterms:modified xsi:type="dcterms:W3CDTF">2026-10-27T08:34:34Z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